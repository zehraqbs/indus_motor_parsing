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S-1 (35)" sheetId="1" state="visible" r:id="rId1"/>
  </sheets>
  <definedNames>
    <definedName name="_xlnm.Print_Titles" localSheetId="0">'CS-1 (35)'!$5:$5</definedName>
    <definedName name="_xlnm.Print_Area" localSheetId="0">'CS-1 (35)'!$A$1:$M$20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[$PKR]\ * #,##0_);_([$PKR]\ * \(#,##0\);_([$PKR]\ * &quot;-&quot;??_);_(@_)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Times New Roman"/>
      <family val="1"/>
      <color theme="1"/>
      <sz val="14"/>
    </font>
    <font>
      <name val="Aptos Narrow"/>
      <family val="2"/>
      <color theme="1"/>
      <sz val="16"/>
      <scheme val="minor"/>
    </font>
    <font>
      <name val="Arial"/>
      <family val="2"/>
      <sz val="10"/>
    </font>
    <font>
      <name val="Aptos Narrow"/>
      <family val="2"/>
      <sz val="16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24"/>
    </font>
    <font>
      <name val="Times New Roman"/>
      <family val="1"/>
      <color theme="1"/>
      <sz val="11"/>
    </font>
    <font>
      <name val="Aptos Narrow"/>
      <family val="2"/>
      <b val="1"/>
      <sz val="16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indexed="8"/>
      <sz val="16"/>
      <scheme val="minor"/>
    </font>
    <font>
      <name val="Times New Roman"/>
      <family val="1"/>
      <color theme="1"/>
      <sz val="28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1" fillId="0" borderId="0"/>
    <xf numFmtId="43" fontId="1" fillId="0" borderId="0"/>
    <xf numFmtId="9" fontId="1" fillId="0" borderId="0"/>
    <xf numFmtId="0" fontId="5" fillId="0" borderId="0"/>
    <xf numFmtId="43" fontId="5" fillId="0" borderId="0"/>
  </cellStyleXfs>
  <cellXfs count="14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9" applyAlignment="1" pivotButton="0" quotePrefix="0" xfId="3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vertical="center" wrapText="1"/>
    </xf>
    <xf numFmtId="164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 wrapText="1"/>
    </xf>
    <xf numFmtId="3" fontId="4" fillId="0" borderId="12" applyAlignment="1" pivotButton="0" quotePrefix="0" xfId="0">
      <alignment horizontal="center" vertical="center" wrapText="1"/>
    </xf>
    <xf numFmtId="164" fontId="4" fillId="2" borderId="9" applyAlignment="1" pivotButton="0" quotePrefix="0" xfId="1">
      <alignment vertical="center"/>
    </xf>
    <xf numFmtId="164" fontId="4" fillId="2" borderId="10" applyAlignment="1" pivotButton="0" quotePrefix="0" xfId="1">
      <alignment vertical="center"/>
    </xf>
    <xf numFmtId="3" fontId="4" fillId="0" borderId="10" applyAlignment="1" pivotButton="0" quotePrefix="0" xfId="0">
      <alignment horizontal="center" vertical="center"/>
    </xf>
    <xf numFmtId="164" fontId="4" fillId="0" borderId="10" applyAlignment="1" pivotButton="0" quotePrefix="0" xfId="1">
      <alignment vertical="center"/>
    </xf>
    <xf numFmtId="164" fontId="4" fillId="3" borderId="10" applyAlignment="1" pivotButton="0" quotePrefix="0" xfId="1">
      <alignment vertical="center"/>
    </xf>
    <xf numFmtId="164" fontId="4" fillId="3" borderId="11" applyAlignment="1" pivotButton="0" quotePrefix="0" xfId="1">
      <alignment vertical="center"/>
    </xf>
    <xf numFmtId="164" fontId="4" fillId="3" borderId="9" applyAlignment="1" pivotButton="0" quotePrefix="0" xfId="1">
      <alignment vertical="center"/>
    </xf>
    <xf numFmtId="9" fontId="4" fillId="3" borderId="11" applyAlignment="1" pivotButton="0" quotePrefix="0" xfId="2">
      <alignment vertical="center"/>
    </xf>
    <xf numFmtId="164" fontId="4" fillId="3" borderId="0" applyAlignment="1" pivotButton="0" quotePrefix="0" xfId="1">
      <alignment vertical="center"/>
    </xf>
    <xf numFmtId="0" fontId="7" fillId="0" borderId="0" pivotButton="0" quotePrefix="0" xfId="0"/>
    <xf numFmtId="164" fontId="7" fillId="0" borderId="0" pivotButton="0" quotePrefix="0" xfId="0"/>
    <xf numFmtId="43" fontId="7" fillId="0" borderId="0" pivotButton="0" quotePrefix="0" xfId="0"/>
    <xf numFmtId="164" fontId="4" fillId="0" borderId="9" applyAlignment="1" pivotButton="0" quotePrefix="0" xfId="1">
      <alignment vertical="center"/>
    </xf>
    <xf numFmtId="0" fontId="4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3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vertical="center" wrapText="1"/>
    </xf>
    <xf numFmtId="164" fontId="4" fillId="0" borderId="14" applyAlignment="1" pivotButton="0" quotePrefix="0" xfId="1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3" fontId="4" fillId="0" borderId="16" applyAlignment="1" pivotButton="0" quotePrefix="0" xfId="0">
      <alignment horizontal="center" vertical="center" wrapText="1"/>
    </xf>
    <xf numFmtId="164" fontId="4" fillId="0" borderId="13" applyAlignment="1" pivotButton="0" quotePrefix="0" xfId="1">
      <alignment vertical="center"/>
    </xf>
    <xf numFmtId="164" fontId="4" fillId="0" borderId="14" applyAlignment="1" pivotButton="0" quotePrefix="0" xfId="1">
      <alignment vertical="center"/>
    </xf>
    <xf numFmtId="3" fontId="4" fillId="0" borderId="14" applyAlignment="1" pivotButton="0" quotePrefix="0" xfId="0">
      <alignment horizontal="center" vertical="center"/>
    </xf>
    <xf numFmtId="164" fontId="4" fillId="3" borderId="14" applyAlignment="1" pivotButton="0" quotePrefix="0" xfId="1">
      <alignment vertical="center"/>
    </xf>
    <xf numFmtId="164" fontId="4" fillId="2" borderId="14" applyAlignment="1" pivotButton="0" quotePrefix="0" xfId="1">
      <alignment vertical="center"/>
    </xf>
    <xf numFmtId="164" fontId="4" fillId="3" borderId="15" applyAlignment="1" pivotButton="0" quotePrefix="0" xfId="1">
      <alignment vertical="center"/>
    </xf>
    <xf numFmtId="164" fontId="4" fillId="3" borderId="13" applyAlignment="1" pivotButton="0" quotePrefix="0" xfId="1">
      <alignment vertical="center"/>
    </xf>
    <xf numFmtId="43" fontId="4" fillId="3" borderId="15" applyAlignment="1" pivotButton="0" quotePrefix="0" xfId="1">
      <alignment vertical="center"/>
    </xf>
    <xf numFmtId="0" fontId="4" fillId="0" borderId="17" pivotButton="0" quotePrefix="0" xfId="0"/>
    <xf numFmtId="164" fontId="4" fillId="0" borderId="0" pivotButton="0" quotePrefix="0" xfId="0"/>
    <xf numFmtId="43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10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2" borderId="19" applyAlignment="1" pivotButton="0" quotePrefix="0" xfId="0">
      <alignment vertical="center"/>
    </xf>
    <xf numFmtId="0" fontId="2" fillId="2" borderId="20" applyAlignment="1" pivotButton="0" quotePrefix="0" xfId="0">
      <alignment vertical="center"/>
    </xf>
    <xf numFmtId="0" fontId="2" fillId="0" borderId="5" applyAlignment="1" pivotButton="0" quotePrefix="0" xfId="0">
      <alignment horizontal="left" vertical="center" wrapText="1"/>
    </xf>
    <xf numFmtId="164" fontId="2" fillId="0" borderId="21" applyAlignment="1" pivotButton="0" quotePrefix="0" xfId="0">
      <alignment horizontal="right" vertical="center"/>
    </xf>
    <xf numFmtId="0" fontId="2" fillId="0" borderId="22" applyAlignment="1" pivotButton="0" quotePrefix="0" xfId="0">
      <alignment vertical="center"/>
    </xf>
    <xf numFmtId="0" fontId="2" fillId="0" borderId="23" applyAlignment="1" pivotButton="0" quotePrefix="0" xfId="0">
      <alignment horizontal="left" vertical="center" wrapText="1"/>
    </xf>
    <xf numFmtId="164" fontId="2" fillId="4" borderId="24" applyAlignment="1" pivotButton="0" quotePrefix="0" xfId="1">
      <alignment vertical="center" wrapText="1"/>
    </xf>
    <xf numFmtId="9" fontId="2" fillId="4" borderId="10" applyAlignment="1" pivotButton="0" quotePrefix="0" xfId="2">
      <alignment vertical="center"/>
    </xf>
    <xf numFmtId="165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2" fillId="0" borderId="25" applyAlignment="1" pivotButton="0" quotePrefix="0" xfId="0">
      <alignment horizontal="left" vertical="top" wrapText="1"/>
    </xf>
    <xf numFmtId="0" fontId="2" fillId="0" borderId="26" applyAlignment="1" pivotButton="0" quotePrefix="0" xfId="0">
      <alignment horizontal="left" vertical="top" wrapText="1"/>
    </xf>
    <xf numFmtId="0" fontId="2" fillId="0" borderId="27" applyAlignment="1" pivotButton="0" quotePrefix="0" xfId="0">
      <alignment horizontal="left" vertical="top" wrapText="1"/>
    </xf>
    <xf numFmtId="164" fontId="10" fillId="0" borderId="9" applyAlignment="1" pivotButton="0" quotePrefix="0" xfId="4">
      <alignment horizontal="left" vertical="center" wrapText="1"/>
    </xf>
    <xf numFmtId="165" fontId="2" fillId="2" borderId="11" applyAlignment="1" pivotButton="0" quotePrefix="0" xfId="1">
      <alignment horizontal="right" vertical="center"/>
    </xf>
    <xf numFmtId="0" fontId="2" fillId="0" borderId="27" applyAlignment="1" pivotButton="0" quotePrefix="0" xfId="0">
      <alignment vertical="top" wrapText="1"/>
    </xf>
    <xf numFmtId="164" fontId="10" fillId="0" borderId="28" applyAlignment="1" pivotButton="0" quotePrefix="0" xfId="4">
      <alignment horizontal="left" vertical="center" wrapText="1"/>
    </xf>
    <xf numFmtId="164" fontId="2" fillId="2" borderId="29" applyAlignment="1" pivotButton="0" quotePrefix="0" xfId="0">
      <alignment horizontal="right" vertical="center"/>
    </xf>
    <xf numFmtId="164" fontId="2" fillId="0" borderId="29" applyAlignment="1" pivotButton="0" quotePrefix="0" xfId="0">
      <alignment horizontal="right" vertical="center"/>
    </xf>
    <xf numFmtId="164" fontId="2" fillId="4" borderId="1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4" fontId="11" fillId="0" borderId="0" applyAlignment="1" pivotButton="0" quotePrefix="0" xfId="1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30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right" vertical="center" wrapText="1"/>
    </xf>
    <xf numFmtId="0" fontId="2" fillId="0" borderId="30" applyAlignment="1" pivotButton="0" quotePrefix="0" xfId="0">
      <alignment vertical="top" wrapText="1"/>
    </xf>
    <xf numFmtId="0" fontId="2" fillId="0" borderId="28" applyAlignment="1" pivotButton="0" quotePrefix="0" xfId="0">
      <alignment horizontal="left" vertical="center"/>
    </xf>
    <xf numFmtId="0" fontId="2" fillId="0" borderId="12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164" fontId="10" fillId="0" borderId="13" applyAlignment="1" pivotButton="0" quotePrefix="0" xfId="4">
      <alignment horizontal="left" vertical="center" wrapText="1"/>
    </xf>
    <xf numFmtId="165" fontId="12" fillId="2" borderId="15" applyAlignment="1" pivotButton="0" quotePrefix="0" xfId="4">
      <alignment horizontal="right" vertical="center"/>
    </xf>
    <xf numFmtId="165" fontId="12" fillId="0" borderId="11" applyAlignment="1" pivotButton="0" quotePrefix="0" xfId="4">
      <alignment horizontal="right" vertical="center"/>
    </xf>
    <xf numFmtId="165" fontId="12" fillId="0" borderId="0" applyAlignment="1" pivotButton="0" quotePrefix="0" xfId="4">
      <alignment horizontal="right" vertical="center"/>
    </xf>
    <xf numFmtId="0" fontId="2" fillId="0" borderId="31" applyAlignment="1" pivotButton="0" quotePrefix="0" xfId="0">
      <alignment horizontal="left" vertical="top" wrapText="1"/>
    </xf>
    <xf numFmtId="0" fontId="2" fillId="0" borderId="32" applyAlignment="1" pivotButton="0" quotePrefix="0" xfId="0">
      <alignment horizontal="left" vertical="top" wrapText="1"/>
    </xf>
    <xf numFmtId="0" fontId="2" fillId="0" borderId="33" applyAlignment="1" pivotButton="0" quotePrefix="0" xfId="0">
      <alignment horizontal="left" vertical="top" wrapText="1"/>
    </xf>
    <xf numFmtId="0" fontId="2" fillId="0" borderId="34" applyAlignment="1" pivotButton="0" quotePrefix="0" xfId="0">
      <alignment horizontal="left" vertical="center" wrapText="1"/>
    </xf>
    <xf numFmtId="164" fontId="2" fillId="0" borderId="35" applyAlignment="1" pivotButton="0" quotePrefix="0" xfId="1">
      <alignment horizontal="right" vertical="center"/>
    </xf>
    <xf numFmtId="0" fontId="2" fillId="0" borderId="33" applyAlignment="1" pivotButton="0" quotePrefix="0" xfId="0">
      <alignment vertical="top" wrapText="1"/>
    </xf>
    <xf numFmtId="0" fontId="2" fillId="0" borderId="36" applyAlignment="1" pivotButton="0" quotePrefix="0" xfId="0">
      <alignment horizontal="left" vertical="center" wrapText="1"/>
    </xf>
    <xf numFmtId="164" fontId="2" fillId="0" borderId="16" applyAlignment="1" pivotButton="0" quotePrefix="0" xfId="1">
      <alignment horizontal="right" vertical="center"/>
    </xf>
    <xf numFmtId="164" fontId="2" fillId="0" borderId="0" applyAlignment="1" pivotButton="0" quotePrefix="0" xfId="1">
      <alignment horizontal="right" vertical="center"/>
    </xf>
    <xf numFmtId="0" fontId="3" fillId="0" borderId="0" applyAlignment="1" pivotButton="0" quotePrefix="0" xfId="0">
      <alignment vertical="center" wrapText="1"/>
    </xf>
    <xf numFmtId="0" fontId="13" fillId="0" borderId="0" pivotButton="0" quotePrefix="0" xfId="0"/>
    <xf numFmtId="0" fontId="13" fillId="0" borderId="37" pivotButton="0" quotePrefix="0" xfId="0"/>
    <xf numFmtId="0" fontId="2" fillId="0" borderId="2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0" borderId="23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2" fillId="0" borderId="37" applyAlignment="1" pivotButton="0" quotePrefix="0" xfId="0">
      <alignment horizontal="left" vertical="top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</cellXfs>
  <cellStyles count="5">
    <cellStyle name="Normal" xfId="0" builtinId="0"/>
    <cellStyle name="Comma" xfId="1" builtinId="3"/>
    <cellStyle name="Percent" xfId="2" builtinId="5"/>
    <cellStyle name="Normal 2 2" xfId="3"/>
    <cellStyle name="Comma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6"/>
  <sheetViews>
    <sheetView showGridLines="0" tabSelected="1" topLeftCell="A5" zoomScale="55" zoomScaleNormal="55" zoomScaleSheetLayoutView="34" workbookViewId="0">
      <selection activeCell="L12" sqref="L12"/>
    </sheetView>
  </sheetViews>
  <sheetFormatPr baseColWidth="8" defaultColWidth="8.90625" defaultRowHeight="14"/>
  <cols>
    <col width="8.81640625" customWidth="1" style="71" min="1" max="1"/>
    <col width="19" bestFit="1" customWidth="1" style="71" min="2" max="2"/>
    <col width="29.1796875" customWidth="1" style="71" min="3" max="3"/>
    <col width="9.90625" customWidth="1" style="71" min="4" max="4"/>
    <col width="15.453125" bestFit="1" customWidth="1" style="71" min="5" max="5"/>
    <col width="20.08984375" bestFit="1" customWidth="1" style="71" min="6" max="6"/>
    <col width="16.90625" bestFit="1" customWidth="1" style="71" min="7" max="7"/>
    <col width="15.453125" customWidth="1" style="71" min="8" max="8"/>
    <col width="18.81640625" customWidth="1" style="71" min="9" max="9"/>
    <col width="19.54296875" customWidth="1" style="71" min="10" max="10"/>
    <col hidden="1" width="15.453125" customWidth="1" style="71" min="11" max="11"/>
    <col width="18.81640625" customWidth="1" style="71" min="12" max="12"/>
    <col width="22.90625" customWidth="1" style="71" min="13" max="13"/>
    <col width="18.81640625" customWidth="1" style="71" min="14" max="14"/>
    <col width="19.54296875" customWidth="1" style="71" min="15" max="15"/>
    <col width="18.81640625" customWidth="1" style="71" min="16" max="16"/>
    <col width="19.54296875" customWidth="1" style="71" min="17" max="17"/>
    <col width="19" customWidth="1" style="71" min="18" max="18"/>
    <col width="19.54296875" customWidth="1" style="71" min="19" max="19"/>
    <col width="18.81640625" customWidth="1" style="71" min="20" max="20"/>
    <col width="19.54296875" customWidth="1" style="71" min="21" max="24"/>
    <col width="12.54296875" bestFit="1" customWidth="1" style="71" min="25" max="25"/>
    <col width="8.90625" customWidth="1" style="71" min="26" max="26"/>
    <col width="9.6328125" bestFit="1" customWidth="1" style="71" min="27" max="27"/>
    <col width="8.90625" customWidth="1" style="71" min="28" max="16384"/>
  </cols>
  <sheetData>
    <row r="1" ht="28.25" customFormat="1" customHeight="1" s="4">
      <c r="A1" s="1" t="inlineStr">
        <is>
          <t>Indus Motor Company</t>
        </is>
      </c>
      <c r="V1" s="3" t="n"/>
      <c r="W1" s="3" t="n"/>
      <c r="X1" s="3" t="n"/>
    </row>
    <row r="2" ht="28.25" customFormat="1" customHeight="1" s="4">
      <c r="A2" s="1" t="inlineStr">
        <is>
          <t>Commercial Purchasing</t>
        </is>
      </c>
      <c r="V2" s="3" t="n"/>
      <c r="W2" s="3" t="n"/>
      <c r="X2" s="3" t="n"/>
    </row>
    <row r="3" ht="28.25" customFormat="1" customHeight="1" s="4">
      <c r="A3" s="1" t="inlineStr">
        <is>
          <t>Comparative Statement Paper</t>
        </is>
      </c>
      <c r="V3" s="3" t="n"/>
      <c r="W3" s="3" t="n"/>
      <c r="X3" s="3" t="n"/>
    </row>
    <row r="4" ht="36.65" customFormat="1" customHeight="1" s="4" thickBot="1">
      <c r="A4" s="5" t="inlineStr">
        <is>
          <t>Objective: To Get Approval for The Procurement of spares Weld Maintainance</t>
        </is>
      </c>
      <c r="B4" s="6" t="n"/>
      <c r="C4" s="6" t="n"/>
      <c r="D4" s="6" t="n"/>
      <c r="E4" s="6" t="n"/>
      <c r="F4" s="6" t="n"/>
      <c r="G4" s="6" t="n"/>
      <c r="H4" s="6" t="n"/>
      <c r="I4" s="7" t="n"/>
      <c r="K4" s="6" t="n"/>
      <c r="L4" s="7" t="n"/>
      <c r="M4" s="7" t="n"/>
      <c r="N4" s="7" t="n"/>
      <c r="O4" s="8" t="n"/>
      <c r="P4" s="7" t="n"/>
      <c r="Q4" s="8" t="n"/>
      <c r="R4" s="7" t="n"/>
      <c r="S4" s="8" t="n"/>
      <c r="T4" s="8" t="inlineStr">
        <is>
          <t>Date: 06-03-2025</t>
        </is>
      </c>
      <c r="U4" s="8" t="n"/>
      <c r="V4" s="8" t="n"/>
      <c r="W4" s="8" t="n"/>
      <c r="X4" s="8" t="n"/>
    </row>
    <row r="5" ht="91.25" customFormat="1" customHeight="1" s="25">
      <c r="A5" s="122" t="inlineStr">
        <is>
          <t>PR#  20058974
Total Items : 8
Inapproval: 8
Remaining: 0</t>
        </is>
      </c>
      <c r="B5" s="123" t="n"/>
      <c r="C5" s="123" t="n"/>
      <c r="D5" s="123" t="n"/>
      <c r="E5" s="124" t="n"/>
      <c r="F5" s="125" t="inlineStr">
        <is>
          <t>Purchase History</t>
        </is>
      </c>
      <c r="G5" s="123" t="n"/>
      <c r="H5" s="124" t="n"/>
      <c r="I5" s="15" t="inlineStr">
        <is>
          <t>A</t>
        </is>
      </c>
      <c r="J5" s="126" t="n"/>
      <c r="K5" s="17" t="n"/>
      <c r="L5" s="127" t="inlineStr">
        <is>
          <t>B</t>
        </is>
      </c>
      <c r="M5" s="126" t="n"/>
      <c r="N5" s="127" t="inlineStr">
        <is>
          <t>C</t>
        </is>
      </c>
      <c r="O5" s="126" t="n"/>
      <c r="P5" s="127" t="inlineStr">
        <is>
          <t>D</t>
        </is>
      </c>
      <c r="Q5" s="126" t="n"/>
      <c r="R5" s="128" t="inlineStr">
        <is>
          <t>E</t>
        </is>
      </c>
      <c r="S5" s="126" t="n"/>
      <c r="T5" s="129" t="inlineStr">
        <is>
          <t>F</t>
        </is>
      </c>
      <c r="U5" s="124" t="n"/>
      <c r="V5" s="130" t="inlineStr">
        <is>
          <t>Price impact</t>
        </is>
      </c>
      <c r="W5" s="124" t="n"/>
      <c r="X5" s="24" t="n"/>
    </row>
    <row r="6" ht="54" customFormat="1" customHeight="1" s="30">
      <c r="A6" s="26" t="inlineStr">
        <is>
          <t>S.no</t>
        </is>
      </c>
      <c r="B6" s="27" t="inlineStr">
        <is>
          <t>Material No.</t>
        </is>
      </c>
      <c r="C6" s="27" t="inlineStr">
        <is>
          <t>Description</t>
        </is>
      </c>
      <c r="D6" s="27" t="inlineStr">
        <is>
          <t xml:space="preserve">QTY </t>
        </is>
      </c>
      <c r="E6" s="28" t="inlineStr">
        <is>
          <t>UOM</t>
        </is>
      </c>
      <c r="F6" s="26" t="inlineStr">
        <is>
          <t>Supplier</t>
        </is>
      </c>
      <c r="G6" s="27" t="inlineStr">
        <is>
          <t xml:space="preserve">PO &amp; Date </t>
        </is>
      </c>
      <c r="H6" s="29" t="inlineStr">
        <is>
          <t>Unit Price</t>
        </is>
      </c>
      <c r="I6" s="26" t="inlineStr">
        <is>
          <t>Unit Price PKR</t>
        </is>
      </c>
      <c r="J6" s="27" t="inlineStr">
        <is>
          <t>Consg. TLC</t>
        </is>
      </c>
      <c r="K6" s="27" t="inlineStr">
        <is>
          <t xml:space="preserve">Unit price </t>
        </is>
      </c>
      <c r="L6" s="27" t="inlineStr">
        <is>
          <t>Unit Price PKR</t>
        </is>
      </c>
      <c r="M6" s="27" t="inlineStr">
        <is>
          <t>Consg. TLC</t>
        </is>
      </c>
      <c r="N6" s="27" t="inlineStr">
        <is>
          <t>Unit Price PKR</t>
        </is>
      </c>
      <c r="O6" s="27" t="inlineStr">
        <is>
          <t>Consg. TLC</t>
        </is>
      </c>
      <c r="P6" s="27" t="inlineStr">
        <is>
          <t>Unit Price PKR</t>
        </is>
      </c>
      <c r="Q6" s="27" t="inlineStr">
        <is>
          <t>Consg. TLC</t>
        </is>
      </c>
      <c r="R6" s="27" t="inlineStr">
        <is>
          <t>Unit Price PKR</t>
        </is>
      </c>
      <c r="S6" s="27" t="inlineStr">
        <is>
          <t>Consg. TLC</t>
        </is>
      </c>
      <c r="T6" s="27" t="inlineStr">
        <is>
          <t>Unit Price PKR</t>
        </is>
      </c>
      <c r="U6" s="28" t="inlineStr">
        <is>
          <t>Consg. TLC</t>
        </is>
      </c>
      <c r="V6" s="26" t="inlineStr">
        <is>
          <t>Price diffrence</t>
        </is>
      </c>
      <c r="W6" s="28" t="inlineStr">
        <is>
          <t>% diffrence</t>
        </is>
      </c>
      <c r="X6" s="24" t="n"/>
    </row>
    <row r="7" ht="70.25" customFormat="1" customHeight="1" s="47">
      <c r="A7" s="31">
        <f t="array" ref="A7">ROW(7:7)-6</f>
        <v/>
      </c>
      <c r="B7" s="32" t="n">
        <v>2000036059</v>
      </c>
      <c r="C7" s="33" t="inlineStr">
        <is>
          <t>MAsking Tape 1</t>
        </is>
      </c>
      <c r="D7" s="34" t="n">
        <v>4</v>
      </c>
      <c r="E7" s="35" t="inlineStr">
        <is>
          <t>EA</t>
        </is>
      </c>
      <c r="F7" s="36" t="inlineStr">
        <is>
          <t>A</t>
        </is>
      </c>
      <c r="G7" s="32" t="inlineStr">
        <is>
          <t>4000126223
11.11.2024</t>
        </is>
      </c>
      <c r="H7" s="37" t="n">
        <v>279190</v>
      </c>
      <c r="I7" s="38" t="n">
        <v>160</v>
      </c>
      <c r="J7" s="39">
        <f>+I7*D7</f>
        <v/>
      </c>
      <c r="K7" s="40" t="n"/>
      <c r="L7" s="41" t="n">
        <v>140</v>
      </c>
      <c r="M7" s="41">
        <f>+L7*D7</f>
        <v/>
      </c>
      <c r="N7" s="42" t="n">
        <v>120</v>
      </c>
      <c r="O7" s="42">
        <f>+N7*D7</f>
        <v/>
      </c>
      <c r="P7" s="42" t="n"/>
      <c r="Q7" s="42">
        <f>P7*D7</f>
        <v/>
      </c>
      <c r="R7" s="42" t="n"/>
      <c r="S7" s="42" t="n"/>
      <c r="T7" s="42" t="n"/>
      <c r="U7" s="43" t="n"/>
      <c r="V7" s="44">
        <f>+I7-H7</f>
        <v/>
      </c>
      <c r="W7" s="45">
        <f>+(I7-H7)/H7</f>
        <v/>
      </c>
      <c r="X7" s="46">
        <f>+H7*D7</f>
        <v/>
      </c>
      <c r="AA7" s="48" t="n"/>
      <c r="AB7" s="49" t="n"/>
      <c r="AF7" s="30" t="n"/>
      <c r="AG7" s="30" t="n"/>
      <c r="AH7" s="30" t="n"/>
      <c r="AI7" s="30" t="n"/>
      <c r="AJ7" s="30" t="n"/>
    </row>
    <row r="8" ht="70.25" customFormat="1" customHeight="1" s="47">
      <c r="A8" s="31">
        <f t="array" ref="A8">ROW(8:8)-6</f>
        <v/>
      </c>
      <c r="B8" s="32" t="n">
        <v>2000027144</v>
      </c>
      <c r="C8" s="33" t="inlineStr">
        <is>
          <t>Masking Tape 2</t>
        </is>
      </c>
      <c r="D8" s="34" t="n">
        <v>65</v>
      </c>
      <c r="E8" s="35" t="inlineStr">
        <is>
          <t>EA</t>
        </is>
      </c>
      <c r="F8" s="36" t="inlineStr">
        <is>
          <t>F</t>
        </is>
      </c>
      <c r="G8" s="32" t="inlineStr">
        <is>
          <t>4000099442
07.12.2022</t>
        </is>
      </c>
      <c r="H8" s="37" t="n">
        <v>3690</v>
      </c>
      <c r="I8" s="50" t="inlineStr"/>
      <c r="J8" s="41">
        <f>+I8*D8</f>
        <v/>
      </c>
      <c r="K8" s="40" t="n"/>
      <c r="L8" s="39" t="n">
        <v>250</v>
      </c>
      <c r="M8" s="39">
        <f>+L8*D8</f>
        <v/>
      </c>
      <c r="N8" s="41" t="n">
        <v>230</v>
      </c>
      <c r="O8" s="42">
        <f>+N8*D8</f>
        <v/>
      </c>
      <c r="P8" s="41" t="n"/>
      <c r="Q8" s="42">
        <f>P8*D8</f>
        <v/>
      </c>
      <c r="R8" s="41" t="n">
        <v>4600</v>
      </c>
      <c r="S8" s="42">
        <f>+R8*D8</f>
        <v/>
      </c>
      <c r="T8" s="41" t="n">
        <v>4265</v>
      </c>
      <c r="U8" s="43">
        <f>+T8*D8</f>
        <v/>
      </c>
      <c r="V8" s="44">
        <f>+L8-H8</f>
        <v/>
      </c>
      <c r="W8" s="45">
        <f>+(L8-H8)/H8</f>
        <v/>
      </c>
      <c r="X8" s="46">
        <f>+H8*D8</f>
        <v/>
      </c>
      <c r="AA8" s="48" t="n"/>
      <c r="AB8" s="49" t="n"/>
      <c r="AF8" s="30" t="n"/>
      <c r="AG8" s="30" t="n"/>
      <c r="AH8" s="30" t="n"/>
      <c r="AI8" s="30" t="n"/>
      <c r="AJ8" s="30" t="n"/>
    </row>
    <row r="9" ht="70.25" customFormat="1" customHeight="1" s="47">
      <c r="A9" s="31">
        <f t="array" ref="A9">ROW(9:9)-6</f>
        <v/>
      </c>
      <c r="B9" s="32" t="n">
        <v>2000009839</v>
      </c>
      <c r="C9" s="33" t="inlineStr">
        <is>
          <t>Welding Electrode Holder 500A Pure Brass</t>
        </is>
      </c>
      <c r="D9" s="34" t="n">
        <v>200</v>
      </c>
      <c r="E9" s="35" t="inlineStr">
        <is>
          <t>EA</t>
        </is>
      </c>
      <c r="F9" s="36" t="inlineStr">
        <is>
          <t>F</t>
        </is>
      </c>
      <c r="G9" s="32" t="inlineStr">
        <is>
          <t>4000128347
10.01.2025</t>
        </is>
      </c>
      <c r="H9" s="51" t="n">
        <v>140</v>
      </c>
      <c r="I9" s="44" t="n">
        <v>215</v>
      </c>
      <c r="J9" s="41">
        <f>+I9*D9</f>
        <v/>
      </c>
      <c r="K9" s="40" t="n"/>
      <c r="L9" s="39" t="n">
        <v>3500</v>
      </c>
      <c r="M9" s="39">
        <f>+L9*D9</f>
        <v/>
      </c>
      <c r="N9" s="42" t="n">
        <v>3000</v>
      </c>
      <c r="O9" s="42">
        <f>+N9*D9</f>
        <v/>
      </c>
      <c r="P9" s="42" t="n"/>
      <c r="Q9" s="42">
        <f>P9*D9</f>
        <v/>
      </c>
      <c r="R9" s="42" t="n">
        <v>140</v>
      </c>
      <c r="S9" s="42">
        <f>+R9*D9</f>
        <v/>
      </c>
      <c r="T9" s="42" t="n">
        <v>140</v>
      </c>
      <c r="U9" s="43">
        <f>+T9*D9</f>
        <v/>
      </c>
      <c r="V9" s="44">
        <f>+L9-H9</f>
        <v/>
      </c>
      <c r="W9" s="45">
        <f>+(L9-H9)/H9</f>
        <v/>
      </c>
      <c r="X9" s="46">
        <f>+H9*D9</f>
        <v/>
      </c>
      <c r="AA9" s="48" t="n"/>
      <c r="AB9" s="49" t="n"/>
      <c r="AF9" s="30" t="n"/>
      <c r="AG9" s="30" t="n"/>
      <c r="AH9" s="30" t="n"/>
      <c r="AI9" s="30" t="n"/>
      <c r="AJ9" s="30" t="n"/>
    </row>
    <row r="10" ht="70.25" customFormat="1" customHeight="1" s="47">
      <c r="A10" s="31">
        <f t="array" ref="A10">ROW(10:10)-6</f>
        <v/>
      </c>
      <c r="B10" s="32" t="n">
        <v>2000009837</v>
      </c>
      <c r="C10" s="33" t="inlineStr">
        <is>
          <t>LEATHER GLOVES (SMALL) 707</t>
        </is>
      </c>
      <c r="D10" s="34" t="n">
        <v>6</v>
      </c>
      <c r="E10" s="35" t="inlineStr">
        <is>
          <t>EA</t>
        </is>
      </c>
      <c r="F10" s="36" t="inlineStr">
        <is>
          <t>F</t>
        </is>
      </c>
      <c r="G10" s="32" t="inlineStr">
        <is>
          <t>4000128347
10.01.2025</t>
        </is>
      </c>
      <c r="H10" s="51" t="n">
        <v>140</v>
      </c>
      <c r="I10" s="50" t="n">
        <v>1200</v>
      </c>
      <c r="J10" s="41">
        <f>+I10*D10</f>
        <v/>
      </c>
      <c r="K10" s="40" t="n"/>
      <c r="L10" s="39" t="n">
        <v>250</v>
      </c>
      <c r="M10" s="39">
        <f>+L10*D10</f>
        <v/>
      </c>
      <c r="N10" s="41" t="n">
        <v>230</v>
      </c>
      <c r="O10" s="42">
        <f>+N10*D10</f>
        <v/>
      </c>
      <c r="P10" s="41" t="n"/>
      <c r="Q10" s="42">
        <f>P10*D10</f>
        <v/>
      </c>
      <c r="R10" s="41" t="n">
        <v>140</v>
      </c>
      <c r="S10" s="42">
        <f>+R10*D10</f>
        <v/>
      </c>
      <c r="T10" s="41" t="n">
        <v>140</v>
      </c>
      <c r="U10" s="43">
        <f>+T10*D10</f>
        <v/>
      </c>
      <c r="V10" s="44">
        <f>+L10-H10</f>
        <v/>
      </c>
      <c r="W10" s="45">
        <f>+(L10-H10)/H10</f>
        <v/>
      </c>
      <c r="X10" s="46">
        <f>+H10*D10</f>
        <v/>
      </c>
      <c r="AA10" s="48" t="n"/>
      <c r="AB10" s="49" t="n"/>
      <c r="AF10" s="30" t="n"/>
      <c r="AG10" s="30" t="n"/>
      <c r="AH10" s="30" t="n"/>
      <c r="AI10" s="30" t="n"/>
      <c r="AJ10" s="30" t="n"/>
    </row>
    <row r="11" ht="70.25" customFormat="1" customHeight="1" s="47">
      <c r="A11" s="31">
        <f t="array" ref="A11">ROW(11:11)-6</f>
        <v/>
      </c>
      <c r="B11" s="32" t="n">
        <v>2000007100</v>
      </c>
      <c r="C11" s="33" t="inlineStr">
        <is>
          <t>SS STEEL BALL Ø25MM</t>
        </is>
      </c>
      <c r="D11" s="34" t="n">
        <v>24</v>
      </c>
      <c r="E11" s="35" t="inlineStr">
        <is>
          <t>EA</t>
        </is>
      </c>
      <c r="F11" s="36" t="inlineStr">
        <is>
          <t>F</t>
        </is>
      </c>
      <c r="G11" s="32" t="inlineStr">
        <is>
          <t>4000128347
10.01.2025</t>
        </is>
      </c>
      <c r="H11" s="51" t="n">
        <v>140</v>
      </c>
      <c r="I11" s="50" t="n">
        <v>185</v>
      </c>
      <c r="J11" s="41">
        <f>+I11*D11</f>
        <v/>
      </c>
      <c r="K11" s="40" t="n"/>
      <c r="L11" s="39" t="n">
        <v>750</v>
      </c>
      <c r="M11" s="39">
        <f>+L11*D11</f>
        <v/>
      </c>
      <c r="N11" s="41" t="n">
        <v>700</v>
      </c>
      <c r="O11" s="42">
        <f>+N11*D11</f>
        <v/>
      </c>
      <c r="P11" s="41" t="n"/>
      <c r="Q11" s="42">
        <f>P11*D11</f>
        <v/>
      </c>
      <c r="R11" s="41" t="n">
        <v>140</v>
      </c>
      <c r="S11" s="42">
        <f>+R11*D11</f>
        <v/>
      </c>
      <c r="T11" s="41" t="n">
        <v>140</v>
      </c>
      <c r="U11" s="43">
        <f>+T11*D11</f>
        <v/>
      </c>
      <c r="V11" s="44">
        <f>+L11-H11</f>
        <v/>
      </c>
      <c r="W11" s="45">
        <f>+(L11-H11)/H11</f>
        <v/>
      </c>
      <c r="X11" s="46">
        <f>+H11*D11</f>
        <v/>
      </c>
      <c r="AA11" s="48" t="n"/>
      <c r="AB11" s="49" t="n"/>
      <c r="AF11" s="30" t="n"/>
      <c r="AG11" s="30" t="n"/>
      <c r="AH11" s="30" t="n"/>
      <c r="AI11" s="30" t="n"/>
      <c r="AJ11" s="30" t="n"/>
    </row>
    <row r="12" ht="70.25" customFormat="1" customHeight="1" s="47">
      <c r="A12" s="31">
        <f t="array" ref="A12">ROW(12:12)-6</f>
        <v/>
      </c>
      <c r="B12" s="32" t="n">
        <v>2000007209</v>
      </c>
      <c r="C12" s="33" t="inlineStr">
        <is>
          <t>CUTTING DISK 1MMX4 INCH REHDIUS 4 x 1mm</t>
        </is>
      </c>
      <c r="D12" s="34" t="n">
        <v>24</v>
      </c>
      <c r="E12" s="35" t="inlineStr">
        <is>
          <t>EA</t>
        </is>
      </c>
      <c r="F12" s="36" t="inlineStr">
        <is>
          <t>B</t>
        </is>
      </c>
      <c r="G12" s="32" t="inlineStr">
        <is>
          <t>4000107384
04.07.2023</t>
        </is>
      </c>
      <c r="H12" s="37" t="n">
        <v>14500</v>
      </c>
      <c r="I12" s="50" t="inlineStr"/>
      <c r="J12" s="41">
        <f>+I12*D12</f>
        <v/>
      </c>
      <c r="K12" s="40" t="n"/>
      <c r="L12" s="41" t="n">
        <v>245</v>
      </c>
      <c r="M12" s="41">
        <f>+L12*D12</f>
        <v/>
      </c>
      <c r="N12" s="39" t="n">
        <v>240</v>
      </c>
      <c r="O12" s="39">
        <f>+N12*D12</f>
        <v/>
      </c>
      <c r="P12" s="41" t="n"/>
      <c r="Q12" s="42">
        <f>P12*D12</f>
        <v/>
      </c>
      <c r="R12" s="41" t="n">
        <v>5500</v>
      </c>
      <c r="S12" s="42">
        <f>+R12*D12</f>
        <v/>
      </c>
      <c r="T12" s="41" t="n">
        <v>6000</v>
      </c>
      <c r="U12" s="43">
        <f>+T12*D12</f>
        <v/>
      </c>
      <c r="V12" s="44">
        <f>+N12-H12</f>
        <v/>
      </c>
      <c r="W12" s="45">
        <f>+(N12-H12)/H12</f>
        <v/>
      </c>
      <c r="X12" s="46">
        <f>+H12*D12</f>
        <v/>
      </c>
      <c r="AA12" s="48" t="n"/>
      <c r="AB12" s="49" t="n"/>
      <c r="AF12" s="30" t="n"/>
      <c r="AG12" s="30" t="n"/>
      <c r="AH12" s="30" t="n"/>
      <c r="AI12" s="30" t="n"/>
      <c r="AJ12" s="30" t="n"/>
    </row>
    <row r="13" ht="70.25" customFormat="1" customHeight="1" s="47">
      <c r="A13" s="31">
        <f t="array" ref="A13">ROW(13:13)-6</f>
        <v/>
      </c>
      <c r="B13" s="32" t="n">
        <v>2000026990</v>
      </c>
      <c r="C13" s="33" t="inlineStr">
        <is>
          <t>Grease nipple 6mm</t>
        </is>
      </c>
      <c r="D13" s="34" t="n">
        <v>24</v>
      </c>
      <c r="E13" s="35" t="inlineStr">
        <is>
          <t>EA</t>
        </is>
      </c>
      <c r="F13" s="36" t="inlineStr">
        <is>
          <t>X</t>
        </is>
      </c>
      <c r="G13" s="32" t="inlineStr">
        <is>
          <t>4000114177
25.06.2024</t>
        </is>
      </c>
      <c r="H13" s="51" t="n">
        <v>130</v>
      </c>
      <c r="I13" s="50" t="inlineStr"/>
      <c r="J13" s="41">
        <f>+I13*D13</f>
        <v/>
      </c>
      <c r="K13" s="40" t="n"/>
      <c r="L13" s="41" t="n">
        <v>350</v>
      </c>
      <c r="M13" s="41">
        <f>+L13*D13</f>
        <v/>
      </c>
      <c r="N13" s="41" t="n">
        <v>300</v>
      </c>
      <c r="O13" s="42">
        <f>+N13*D13</f>
        <v/>
      </c>
      <c r="P13" s="39" t="n">
        <v>235</v>
      </c>
      <c r="Q13" s="39">
        <f>P13*D13</f>
        <v/>
      </c>
      <c r="R13" s="41" t="n">
        <v>245</v>
      </c>
      <c r="S13" s="42">
        <f>+R13*D13</f>
        <v/>
      </c>
      <c r="T13" s="41" t="n">
        <v>250</v>
      </c>
      <c r="U13" s="43">
        <f>+T13*D13</f>
        <v/>
      </c>
      <c r="V13" s="44">
        <f>+P13-H13</f>
        <v/>
      </c>
      <c r="W13" s="45">
        <f>+(P13-H13)/H13</f>
        <v/>
      </c>
      <c r="X13" s="46">
        <f>+H13*D13</f>
        <v/>
      </c>
      <c r="AA13" s="48" t="n"/>
      <c r="AB13" s="49" t="n"/>
      <c r="AF13" s="30" t="n"/>
      <c r="AG13" s="30" t="n"/>
      <c r="AH13" s="30" t="n"/>
      <c r="AI13" s="30" t="n"/>
      <c r="AJ13" s="30" t="n"/>
    </row>
    <row r="14" ht="70.25" customFormat="1" customHeight="1" s="47" thickBot="1">
      <c r="A14" s="52">
        <f t="array" ref="A14">ROW(14:14)-6</f>
        <v/>
      </c>
      <c r="B14" s="53" t="n">
        <v>2000004185</v>
      </c>
      <c r="C14" s="54" t="inlineStr">
        <is>
          <t>Welding Rod (BOC Zodian) 3.2</t>
        </is>
      </c>
      <c r="D14" s="55" t="n">
        <v>10</v>
      </c>
      <c r="E14" s="56" t="inlineStr">
        <is>
          <t>EA</t>
        </is>
      </c>
      <c r="F14" s="57" t="inlineStr">
        <is>
          <t>Y</t>
        </is>
      </c>
      <c r="G14" s="53" t="inlineStr">
        <is>
          <t>4000119918
10.06.2024</t>
        </is>
      </c>
      <c r="H14" s="58" t="n">
        <v>3040</v>
      </c>
      <c r="I14" s="59" t="n"/>
      <c r="J14" s="60">
        <f>+I14*D14</f>
        <v/>
      </c>
      <c r="K14" s="61" t="n"/>
      <c r="L14" s="60" t="n">
        <v>3910</v>
      </c>
      <c r="M14" s="60">
        <f>+L14*D14</f>
        <v/>
      </c>
      <c r="N14" s="60" t="n">
        <v>4002</v>
      </c>
      <c r="O14" s="62">
        <f>+N14*D14</f>
        <v/>
      </c>
      <c r="P14" s="63" t="n">
        <v>3100</v>
      </c>
      <c r="Q14" s="63">
        <f>P14*D14</f>
        <v/>
      </c>
      <c r="R14" s="60" t="n">
        <v>3800</v>
      </c>
      <c r="S14" s="62">
        <f>+R14*D14</f>
        <v/>
      </c>
      <c r="T14" s="60" t="n">
        <v>3700</v>
      </c>
      <c r="U14" s="64">
        <f>+T14*D14</f>
        <v/>
      </c>
      <c r="V14" s="65">
        <f>+P14-H14</f>
        <v/>
      </c>
      <c r="W14" s="66">
        <f>+(P14-H14)/H14</f>
        <v/>
      </c>
      <c r="X14" s="46">
        <f>+H14*D14</f>
        <v/>
      </c>
      <c r="AA14" s="48" t="n"/>
      <c r="AB14" s="49" t="n"/>
      <c r="AF14" s="30" t="n"/>
      <c r="AG14" s="30" t="n"/>
      <c r="AH14" s="30" t="n"/>
      <c r="AI14" s="30" t="n"/>
      <c r="AJ14" s="30" t="n"/>
    </row>
    <row r="15" ht="31.25" customHeight="1" thickBot="1">
      <c r="A15" s="6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68">
        <f>+SUM(X7:X14)</f>
        <v/>
      </c>
      <c r="Y15" s="69" t="n"/>
      <c r="Z15" s="70" t="n"/>
      <c r="AB15" s="49" t="n"/>
      <c r="AF15" s="72" t="n"/>
      <c r="AG15" s="131" t="n"/>
      <c r="AH15" s="131" t="n"/>
      <c r="AI15" s="131" t="n"/>
      <c r="AJ15" s="132" t="n"/>
    </row>
    <row r="16" ht="45" customFormat="1" customHeight="1" s="83" thickBot="1">
      <c r="A16" s="74" t="inlineStr">
        <is>
          <t>REMARKS</t>
        </is>
      </c>
      <c r="B16" s="75" t="n"/>
      <c r="C16" s="75" t="n"/>
      <c r="D16" s="75" t="n"/>
      <c r="E16" s="75" t="n"/>
      <c r="F16" s="75" t="n"/>
      <c r="G16" s="75" t="n"/>
      <c r="H16" s="75" t="n"/>
      <c r="I16" s="76" t="inlineStr">
        <is>
          <t>Total Amount PKR</t>
        </is>
      </c>
      <c r="J16" s="77">
        <f>+SUM(J7:J13)</f>
        <v/>
      </c>
      <c r="K16" s="78" t="n"/>
      <c r="L16" s="76" t="inlineStr">
        <is>
          <t>Total Amount PKR</t>
        </is>
      </c>
      <c r="M16" s="77">
        <f>+SUM(M7:M14)</f>
        <v/>
      </c>
      <c r="N16" s="79" t="inlineStr">
        <is>
          <t>Total Amount PKR</t>
        </is>
      </c>
      <c r="O16" s="77">
        <f>+SUM(O7:O13)</f>
        <v/>
      </c>
      <c r="P16" s="79" t="inlineStr">
        <is>
          <t>Total Amount PKR</t>
        </is>
      </c>
      <c r="Q16" s="77">
        <f>+SUM(Q8:Q14)</f>
        <v/>
      </c>
      <c r="R16" s="79" t="inlineStr">
        <is>
          <t>Total Amount PKR</t>
        </is>
      </c>
      <c r="S16" s="77">
        <f>+SUM(S8:S13)</f>
        <v/>
      </c>
      <c r="T16" s="79" t="inlineStr">
        <is>
          <t>Total Amount PKR</t>
        </is>
      </c>
      <c r="U16" s="77">
        <f>+SUM(U8:U14)</f>
        <v/>
      </c>
      <c r="V16" s="80" t="inlineStr">
        <is>
          <t>Buying Effeciency %</t>
        </is>
      </c>
      <c r="W16" s="81">
        <f>+(X16-X15)/X15</f>
        <v/>
      </c>
      <c r="X16" s="82">
        <f>+SUM(J17:Q17)</f>
        <v/>
      </c>
      <c r="AA16" s="84">
        <f>+SUM(AA15:AA15)</f>
        <v/>
      </c>
      <c r="AF16" s="133" t="n"/>
      <c r="AG16" s="134" t="n"/>
      <c r="AH16" s="134" t="n"/>
      <c r="AI16" s="134" t="n"/>
      <c r="AJ16" s="135" t="n"/>
    </row>
    <row r="17" ht="45" customFormat="1" customHeight="1" s="83">
      <c r="A17" s="136" t="inlineStr">
        <is>
          <t xml:space="preserve">● Total approval amount is PKR 660,180.
● Supplier quoted rates as per user requirement. 
● Reference to above point and comparision order shall be placed to M/s Zaincom, HS Corp, AY Capital and SN Engineering based on lowest quote </t>
        </is>
      </c>
      <c r="B17" s="137" t="n"/>
      <c r="C17" s="137" t="n"/>
      <c r="D17" s="137" t="n"/>
      <c r="E17" s="137" t="n"/>
      <c r="F17" s="137" t="n"/>
      <c r="G17" s="137" t="n"/>
      <c r="H17" s="138" t="n"/>
      <c r="I17" s="88" t="inlineStr">
        <is>
          <t>Total Order Amount</t>
        </is>
      </c>
      <c r="J17" s="89">
        <f>+J16</f>
        <v/>
      </c>
      <c r="K17" s="90" t="n"/>
      <c r="L17" s="88" t="inlineStr">
        <is>
          <t>Total Order Amount</t>
        </is>
      </c>
      <c r="M17" s="89">
        <f>+SUM(M8:M11)</f>
        <v/>
      </c>
      <c r="N17" s="91" t="inlineStr">
        <is>
          <t>Total Order Amount</t>
        </is>
      </c>
      <c r="O17" s="92">
        <f>+O12</f>
        <v/>
      </c>
      <c r="P17" s="91" t="inlineStr">
        <is>
          <t>Total Order Amount</t>
        </is>
      </c>
      <c r="Q17" s="92">
        <f>+SUM(Q13:Q14)</f>
        <v/>
      </c>
      <c r="R17" s="91" t="inlineStr">
        <is>
          <t>Total Order Amount</t>
        </is>
      </c>
      <c r="S17" s="93" t="inlineStr">
        <is>
          <t xml:space="preserve">NO Order </t>
        </is>
      </c>
      <c r="T17" s="91" t="inlineStr">
        <is>
          <t>Total Order Amount</t>
        </is>
      </c>
      <c r="U17" s="93" t="inlineStr">
        <is>
          <t xml:space="preserve">NO Order </t>
        </is>
      </c>
      <c r="V17" s="80" t="inlineStr">
        <is>
          <t>Savng In PKR</t>
        </is>
      </c>
      <c r="W17" s="94">
        <f>+X16-X15</f>
        <v/>
      </c>
      <c r="X17" s="95" t="n"/>
      <c r="Y17" s="96">
        <f>+SUM(#REF!)</f>
        <v/>
      </c>
      <c r="AA17" s="84" t="n"/>
    </row>
    <row r="18" ht="39.65" customFormat="1" customHeight="1" s="47">
      <c r="A18" s="139" t="n"/>
      <c r="H18" s="140" t="n"/>
      <c r="I18" s="100" t="inlineStr">
        <is>
          <t>Lead Time</t>
        </is>
      </c>
      <c r="J18" s="101" t="inlineStr">
        <is>
          <t>1 Week</t>
        </is>
      </c>
      <c r="K18" s="102" t="n"/>
      <c r="L18" s="100" t="inlineStr">
        <is>
          <t>Lead Time</t>
        </is>
      </c>
      <c r="M18" s="101" t="inlineStr">
        <is>
          <t>1 Week</t>
        </is>
      </c>
      <c r="N18" s="103" t="inlineStr">
        <is>
          <t>Lead Time</t>
        </is>
      </c>
      <c r="O18" s="104" t="inlineStr">
        <is>
          <t>1-2 week</t>
        </is>
      </c>
      <c r="P18" s="103" t="inlineStr">
        <is>
          <t>Lead Time</t>
        </is>
      </c>
      <c r="Q18" s="104" t="inlineStr">
        <is>
          <t>1 week</t>
        </is>
      </c>
      <c r="R18" s="103" t="inlineStr">
        <is>
          <t>Lead Time</t>
        </is>
      </c>
      <c r="S18" s="104" t="inlineStr">
        <is>
          <t>1 week</t>
        </is>
      </c>
      <c r="T18" s="103" t="inlineStr">
        <is>
          <t>Lead Time</t>
        </is>
      </c>
      <c r="U18" s="104" t="inlineStr">
        <is>
          <t>1 week</t>
        </is>
      </c>
      <c r="V18" s="105" t="n"/>
      <c r="W18" s="105" t="n"/>
      <c r="X18" s="105" t="n"/>
      <c r="AA18" s="49">
        <f>+#REF!/AA16</f>
        <v/>
      </c>
    </row>
    <row r="19" ht="39.65" customFormat="1" customHeight="1" s="47" thickBot="1">
      <c r="A19" s="139" t="n"/>
      <c r="H19" s="140" t="n"/>
      <c r="I19" s="106" t="inlineStr">
        <is>
          <t>GST 18%</t>
        </is>
      </c>
      <c r="J19" s="107">
        <f>J17*1.18</f>
        <v/>
      </c>
      <c r="K19" s="102" t="n"/>
      <c r="L19" s="106" t="inlineStr">
        <is>
          <t>GST 18%</t>
        </is>
      </c>
      <c r="M19" s="107">
        <f>M17*1.18</f>
        <v/>
      </c>
      <c r="N19" s="91" t="inlineStr">
        <is>
          <t>GST 18%</t>
        </is>
      </c>
      <c r="O19" s="107">
        <f>O17*1.18</f>
        <v/>
      </c>
      <c r="P19" s="91" t="inlineStr">
        <is>
          <t>GST 18%</t>
        </is>
      </c>
      <c r="Q19" s="107">
        <f>Q17*1.18</f>
        <v/>
      </c>
      <c r="R19" s="91" t="inlineStr">
        <is>
          <t>GST 18%</t>
        </is>
      </c>
      <c r="S19" s="108" t="n">
        <v>0</v>
      </c>
      <c r="T19" s="91" t="inlineStr">
        <is>
          <t>GST 18%</t>
        </is>
      </c>
      <c r="U19" s="108" t="n">
        <v>0</v>
      </c>
      <c r="V19" s="109" t="n"/>
      <c r="W19" s="109" t="n"/>
      <c r="X19" s="109" t="n"/>
    </row>
    <row r="20" ht="39.65" customFormat="1" customHeight="1" s="83" thickBot="1">
      <c r="A20" s="141" t="n"/>
      <c r="B20" s="142" t="n"/>
      <c r="C20" s="142" t="n"/>
      <c r="D20" s="142" t="n"/>
      <c r="E20" s="142" t="n"/>
      <c r="F20" s="142" t="n"/>
      <c r="G20" s="142" t="n"/>
      <c r="H20" s="143" t="n"/>
      <c r="I20" s="113" t="inlineStr">
        <is>
          <t>Specs</t>
        </is>
      </c>
      <c r="J20" s="114" t="inlineStr">
        <is>
          <t>As per PR</t>
        </is>
      </c>
      <c r="K20" s="115" t="n"/>
      <c r="L20" s="113" t="inlineStr">
        <is>
          <t>Specs</t>
        </is>
      </c>
      <c r="M20" s="114" t="inlineStr">
        <is>
          <t>As per PR</t>
        </is>
      </c>
      <c r="N20" s="116" t="inlineStr">
        <is>
          <t>Specs</t>
        </is>
      </c>
      <c r="O20" s="117" t="inlineStr">
        <is>
          <t>As per PR</t>
        </is>
      </c>
      <c r="P20" s="116" t="inlineStr">
        <is>
          <t>Specs</t>
        </is>
      </c>
      <c r="Q20" s="117" t="inlineStr">
        <is>
          <t>As per PR</t>
        </is>
      </c>
      <c r="R20" s="116" t="inlineStr">
        <is>
          <t>Specs</t>
        </is>
      </c>
      <c r="S20" s="117" t="inlineStr">
        <is>
          <t>As per PR</t>
        </is>
      </c>
      <c r="T20" s="116" t="inlineStr">
        <is>
          <t>Specs</t>
        </is>
      </c>
      <c r="U20" s="117" t="inlineStr">
        <is>
          <t>As per PR</t>
        </is>
      </c>
      <c r="V20" s="118" t="n"/>
      <c r="W20" s="118" t="n"/>
      <c r="X20" s="118" t="n"/>
    </row>
    <row r="21" ht="15.65" customHeight="1" thickBot="1">
      <c r="D21" s="119" t="n"/>
      <c r="E21" s="119" t="n"/>
      <c r="F21" s="119" t="n"/>
      <c r="G21" s="119" t="n"/>
      <c r="H21" s="119" t="n"/>
      <c r="I21" s="120" t="n"/>
      <c r="J21" s="120" t="n"/>
      <c r="K21" s="119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0" t="n"/>
    </row>
    <row r="22" ht="36" customHeight="1" thickBot="1">
      <c r="D22" s="119" t="n"/>
      <c r="E22" s="119" t="n"/>
      <c r="F22" s="119" t="n"/>
      <c r="G22" s="119" t="n"/>
      <c r="H22" s="119" t="n"/>
      <c r="I22" s="120" t="n"/>
      <c r="J22" s="120" t="n"/>
      <c r="K22" s="119" t="n"/>
      <c r="L22" s="120" t="n"/>
      <c r="M22" s="120" t="n"/>
      <c r="N22" s="120" t="n"/>
      <c r="O22" s="120" t="n"/>
      <c r="P22" s="120" t="n"/>
      <c r="Q22" s="120" t="n"/>
      <c r="R22" s="120" t="n"/>
      <c r="S22" s="120" t="n"/>
      <c r="T22" s="120" t="n"/>
      <c r="U22" s="120" t="n"/>
      <c r="V22" s="120" t="n"/>
      <c r="W22" s="121" t="n"/>
      <c r="X22" s="120" t="n"/>
    </row>
    <row r="23" ht="35.5" customHeight="1">
      <c r="D23" s="119" t="n"/>
      <c r="E23" s="119" t="n"/>
      <c r="F23" s="119" t="n"/>
      <c r="G23" s="119" t="n"/>
      <c r="H23" s="119" t="n"/>
      <c r="I23" s="120" t="n"/>
      <c r="J23" s="120" t="n"/>
      <c r="K23" s="119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  <c r="X23" s="120" t="n"/>
    </row>
    <row r="24" ht="35.5" customHeight="1">
      <c r="D24" s="119" t="n"/>
      <c r="E24" s="119" t="n"/>
      <c r="F24" s="119" t="n"/>
      <c r="G24" s="119" t="n"/>
      <c r="H24" s="119" t="n"/>
      <c r="I24" s="120" t="n"/>
      <c r="J24" s="120" t="n"/>
      <c r="K24" s="119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  <c r="X24" s="120" t="n"/>
    </row>
    <row r="25" ht="35.5" customHeight="1">
      <c r="D25" s="119" t="n"/>
      <c r="E25" s="119" t="n"/>
      <c r="F25" s="119" t="n"/>
      <c r="G25" s="119" t="n"/>
      <c r="H25" s="119" t="n"/>
      <c r="I25" s="120" t="n"/>
      <c r="J25" s="120" t="n"/>
      <c r="K25" s="119" t="n"/>
      <c r="L25" s="120" t="n"/>
      <c r="M25" s="120" t="n"/>
      <c r="N25" s="120" t="n"/>
      <c r="O25" s="120" t="n"/>
      <c r="P25" s="120" t="n"/>
      <c r="Q25" s="120" t="n"/>
      <c r="R25" s="120" t="n"/>
      <c r="S25" s="120" t="n"/>
      <c r="T25" s="120" t="n"/>
      <c r="U25" s="120" t="n"/>
      <c r="V25" s="120" t="n"/>
      <c r="W25" s="120" t="n"/>
      <c r="X25" s="120" t="n"/>
    </row>
    <row r="26" ht="35.5" customHeight="1">
      <c r="D26" s="119" t="n"/>
      <c r="E26" s="119" t="n"/>
      <c r="F26" s="119" t="n"/>
      <c r="G26" s="119" t="n"/>
      <c r="H26" s="119" t="n"/>
      <c r="I26" s="120" t="n"/>
      <c r="J26" s="120" t="n"/>
      <c r="K26" s="119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0" t="n"/>
    </row>
  </sheetData>
  <mergeCells count="14">
    <mergeCell ref="F5:H5"/>
    <mergeCell ref="A2:U2"/>
    <mergeCell ref="A17:H20"/>
    <mergeCell ref="T5:U5"/>
    <mergeCell ref="V5:W5"/>
    <mergeCell ref="A5:E5"/>
    <mergeCell ref="I5:J5"/>
    <mergeCell ref="L5:M5"/>
    <mergeCell ref="P5:Q5"/>
    <mergeCell ref="N5:O5"/>
    <mergeCell ref="A1:U1"/>
    <mergeCell ref="R5:S5"/>
    <mergeCell ref="AF15:AJ16"/>
    <mergeCell ref="A3:U3"/>
  </mergeCells>
  <printOptions horizontalCentered="1"/>
  <pageMargins left="0" right="0" top="0.75" bottom="0.75" header="0.3" footer="0.3"/>
  <pageSetup orientation="landscape" paperSize="8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Maryum Fatima(Commercial)</dc:creator>
  <dcterms:created xsi:type="dcterms:W3CDTF">2026-01-17T03:57:44Z</dcterms:created>
  <dcterms:modified xsi:type="dcterms:W3CDTF">2026-02-02T12:20:28Z</dcterms:modified>
  <cp:lastModifiedBy>Maryum Fatima(Commercial)</cp:lastModifiedBy>
</cp:coreProperties>
</file>